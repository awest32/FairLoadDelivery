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est32\source\repos\FairLoadDelivery\data\ieee_13_aw_edit\"/>
    </mc:Choice>
  </mc:AlternateContent>
  <xr:revisionPtr revIDLastSave="0" documentId="13_ncr:1_{3C237D02-74BA-4AB7-8CC3-D96537EE5665}" xr6:coauthVersionLast="47" xr6:coauthVersionMax="47" xr10:uidLastSave="{00000000-0000-0000-0000-000000000000}"/>
  <bookViews>
    <workbookView xWindow="28680" yWindow="-120" windowWidth="51840" windowHeight="21120" xr2:uid="{547122AB-8B14-4A2E-8B01-96DC1773FAE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1" l="1"/>
  <c r="R11" i="1"/>
  <c r="R7" i="1"/>
  <c r="R12" i="1"/>
  <c r="R9" i="1"/>
  <c r="R8" i="1"/>
  <c r="B6" i="1"/>
  <c r="B3" i="1"/>
  <c r="B4" i="1"/>
</calcChain>
</file>

<file path=xl/sharedStrings.xml><?xml version="1.0" encoding="utf-8"?>
<sst xmlns="http://schemas.openxmlformats.org/spreadsheetml/2006/main" count="10" uniqueCount="10">
  <si>
    <t>Load Name</t>
  </si>
  <si>
    <t>kVA</t>
  </si>
  <si>
    <t>Blocks</t>
  </si>
  <si>
    <t>A</t>
  </si>
  <si>
    <t>C</t>
  </si>
  <si>
    <t>Loads</t>
  </si>
  <si>
    <t>B</t>
  </si>
  <si>
    <t>Sum_A</t>
  </si>
  <si>
    <t>Sum_B</t>
  </si>
  <si>
    <t>Sum_BC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</si>
</sst>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trike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s Sorted From Greatest to Least kVA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kVA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Sheet1!$A$2:$A$10</c:f>
              <c:numCache>
                <c:formatCode>General</c:formatCode>
                <c:ptCount val="9"/>
                <c:pt idx="0">
                  <c:v>671</c:v>
                </c:pt>
                <c:pt idx="1">
                  <c:v>675</c:v>
                </c:pt>
                <c:pt idx="2">
                  <c:v>634</c:v>
                </c:pt>
                <c:pt idx="3">
                  <c:v>646</c:v>
                </c:pt>
                <c:pt idx="4">
                  <c:v>670</c:v>
                </c:pt>
                <c:pt idx="5">
                  <c:v>692</c:v>
                </c:pt>
                <c:pt idx="6">
                  <c:v>645</c:v>
                </c:pt>
                <c:pt idx="7">
                  <c:v>611</c:v>
                </c:pt>
                <c:pt idx="8">
                  <c:v>652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1330.3</c:v>
                </c:pt>
                <c:pt idx="1">
                  <c:v>970.8</c:v>
                </c:pt>
                <c:pt idx="2">
                  <c:v>494.2</c:v>
                </c:pt>
                <c:pt idx="3">
                  <c:v>265.2</c:v>
                </c:pt>
                <c:pt idx="4">
                  <c:v>231.20000000000002</c:v>
                </c:pt>
                <c:pt idx="5">
                  <c:v>227.4</c:v>
                </c:pt>
                <c:pt idx="6">
                  <c:v>211</c:v>
                </c:pt>
                <c:pt idx="7">
                  <c:v>187.9</c:v>
                </c:pt>
                <c:pt idx="8">
                  <c:v>154.19999999999999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7-4968-BC85-299861821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593632"/>
        <c:axId val="753592192"/>
      </c:barChart>
      <c:catAx>
        <c:axId val="7535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592192"/>
        <c:crosses val="autoZero"/>
        <c:auto val="1"/>
        <c:lblAlgn val="ctr"/>
        <c:lblOffset val="100"/>
        <c:noMultiLvlLbl val="0"/>
      </c:catAx>
      <c:valAx>
        <c:axId val="75359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5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Load</a:t>
            </a:r>
            <a:r>
              <a:rPr lang="en-US" baseline="0"/>
              <a:t>s Sorted From Greatest to Least kVA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Sheet1!$B$1</c:f>
              <c:strCache>
                <c:ptCount val="1"/>
                <c:pt idx="0">
                  <c:v>kVA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Sheet1!$A$12:$A$20</c:f>
              <c:numCache>
                <c:formatCode>General</c:formatCode>
                <c:ptCount val="9"/>
                <c:pt idx="0">
                  <c:v>1</c:v>
                </c:pt>
                <c:pt idx="1">
                  <c:v>5</c:v>
                </c:pt>
                <c:pt idx="2">
                  <c:v>4</c:v>
                </c:pt>
                <c:pt idx="3">
                  <c:v>14</c:v>
                </c:pt>
                <c:pt idx="4">
                  <c:v>13</c:v>
                </c:pt>
                <c:pt idx="5">
                  <c:v>12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</c:numCache>
            </c:numRef>
          </c:cat>
          <c:val>
            <c:numRef>
              <c:f>Sheet1!$B$2:$B$10</c:f>
              <c:numCache>
                <c:formatCode>General</c:formatCode>
                <c:ptCount val="9"/>
                <c:pt idx="0">
                  <c:v>1330.3</c:v>
                </c:pt>
                <c:pt idx="1">
                  <c:v>970.8</c:v>
                </c:pt>
                <c:pt idx="2">
                  <c:v>494.2</c:v>
                </c:pt>
                <c:pt idx="3">
                  <c:v>265.2</c:v>
                </c:pt>
                <c:pt idx="4">
                  <c:v>231.20000000000002</c:v>
                </c:pt>
                <c:pt idx="5">
                  <c:v>227.4</c:v>
                </c:pt>
                <c:pt idx="6">
                  <c:v>211</c:v>
                </c:pt>
                <c:pt idx="7">
                  <c:v>187.9</c:v>
                </c:pt>
                <c:pt idx="8">
                  <c:v>154.19999999999999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87-4968-BC85-299861821E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3593632"/>
        <c:axId val="753592192"/>
      </c:barChart>
      <c:catAx>
        <c:axId val="7535936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592192"/>
        <c:crosses val="autoZero"/>
        <c:auto val="1"/>
        <c:lblAlgn val="ctr"/>
        <c:lblOffset val="100"/>
        <c:noMultiLvlLbl val="0"/>
      </c:catAx>
      <c:valAx>
        <c:axId val="753592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3593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1</xdr:row>
      <xdr:rowOff>88900</xdr:rowOff>
    </xdr:from>
    <xdr:to>
      <xdr:col>11</xdr:col>
      <xdr:colOff>390525</xdr:colOff>
      <xdr:row>16</xdr:row>
      <xdr:rowOff>69850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A96A49-11CC-4091-416F-4FEFB492D5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139700</xdr:colOff>
      <xdr:row>17</xdr:row>
      <xdr:rowOff>9525</xdr:rowOff>
    </xdr:from>
    <xdr:to>
      <xdr:col>11</xdr:col>
      <xdr:colOff>444500</xdr:colOff>
      <xdr:row>31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AF61AB4-B233-71A7-D4CF-F6CD7B6D57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3FCDB-0924-48FF-A19B-9CAA429C32BE}">
  <dimension ref="A1:R20"/>
  <sheetViews>
    <sheetView tabSelected="1" workbookViewId="0">
      <selection activeCell="AP16" sqref="AP16"/>
    </sheetView>
  </sheetViews>
  <sheetFormatPr defaultRowHeight="14.5" x14ac:dyDescent="0.35"/>
  <cols>
    <col min="1" max="1" width="11.6328125" customWidth="1"/>
  </cols>
  <sheetData>
    <row r="1" spans="1:18" x14ac:dyDescent="0.35">
      <c r="A1" t="s">
        <v>0</v>
      </c>
      <c r="B1" t="s">
        <v>1</v>
      </c>
      <c r="P1" t="s">
        <v>2</v>
      </c>
      <c r="Q1" t="s">
        <v>5</v>
      </c>
    </row>
    <row r="2" spans="1:18" x14ac:dyDescent="0.35">
      <c r="A2">
        <v>671</v>
      </c>
      <c r="B2">
        <v>1330.3</v>
      </c>
      <c r="P2" t="s">
        <v>3</v>
      </c>
      <c r="Q2">
        <v>645</v>
      </c>
      <c r="R2">
        <v>211</v>
      </c>
    </row>
    <row r="3" spans="1:18" x14ac:dyDescent="0.35">
      <c r="A3">
        <v>675</v>
      </c>
      <c r="B3">
        <f>520.9+90.7+359.2</f>
        <v>970.8</v>
      </c>
      <c r="Q3">
        <v>646</v>
      </c>
      <c r="R3">
        <v>265.2</v>
      </c>
    </row>
    <row r="4" spans="1:18" x14ac:dyDescent="0.35">
      <c r="A4">
        <v>634</v>
      </c>
      <c r="B4">
        <f>194.2+150+150</f>
        <v>494.2</v>
      </c>
      <c r="Q4">
        <v>611</v>
      </c>
      <c r="R4">
        <v>187.9</v>
      </c>
    </row>
    <row r="5" spans="1:18" x14ac:dyDescent="0.35">
      <c r="A5">
        <v>646</v>
      </c>
      <c r="B5">
        <v>265.2</v>
      </c>
      <c r="Q5">
        <v>652</v>
      </c>
      <c r="R5">
        <v>154.19999999999999</v>
      </c>
    </row>
    <row r="6" spans="1:18" x14ac:dyDescent="0.35">
      <c r="A6">
        <v>670</v>
      </c>
      <c r="B6">
        <f>19.7+76.2+135.3</f>
        <v>231.20000000000002</v>
      </c>
      <c r="Q6">
        <v>671</v>
      </c>
      <c r="R6">
        <v>1330.3</v>
      </c>
    </row>
    <row r="7" spans="1:18" x14ac:dyDescent="0.35">
      <c r="A7">
        <v>692</v>
      </c>
      <c r="B7">
        <v>227.4</v>
      </c>
      <c r="Q7" t="s">
        <v>7</v>
      </c>
      <c r="R7">
        <f>SUM(R2:R6)</f>
        <v>2148.6</v>
      </c>
    </row>
    <row r="8" spans="1:18" x14ac:dyDescent="0.35">
      <c r="A8">
        <v>645</v>
      </c>
      <c r="B8">
        <v>211</v>
      </c>
      <c r="P8" t="s">
        <v>6</v>
      </c>
      <c r="Q8">
        <v>634</v>
      </c>
      <c r="R8">
        <f>194.2+150+150</f>
        <v>494.2</v>
      </c>
    </row>
    <row r="9" spans="1:18" x14ac:dyDescent="0.35">
      <c r="A9">
        <v>611</v>
      </c>
      <c r="B9">
        <v>187.9</v>
      </c>
      <c r="Q9">
        <v>675</v>
      </c>
      <c r="R9">
        <f>520.9+90.7+359.2</f>
        <v>970.8</v>
      </c>
    </row>
    <row r="10" spans="1:18" x14ac:dyDescent="0.35">
      <c r="A10">
        <v>652</v>
      </c>
      <c r="B10">
        <v>154.19999999999999</v>
      </c>
      <c r="Q10">
        <v>692</v>
      </c>
      <c r="R10">
        <v>227.4</v>
      </c>
    </row>
    <row r="11" spans="1:18" x14ac:dyDescent="0.35">
      <c r="Q11" t="s">
        <v>8</v>
      </c>
      <c r="R11">
        <f>SUM(R8:R10)</f>
        <v>1692.4</v>
      </c>
    </row>
    <row r="12" spans="1:18" x14ac:dyDescent="0.35">
      <c r="A12">
        <v>1</v>
      </c>
      <c r="P12" t="s">
        <v>4</v>
      </c>
      <c r="Q12">
        <v>670</v>
      </c>
      <c r="R12">
        <f>19.7+76.2+135.3</f>
        <v>231.20000000000002</v>
      </c>
    </row>
    <row r="13" spans="1:18" x14ac:dyDescent="0.35">
      <c r="A13" s="1">
        <v>5</v>
      </c>
    </row>
    <row r="14" spans="1:18" x14ac:dyDescent="0.35">
      <c r="A14">
        <v>4</v>
      </c>
      <c r="Q14" t="s">
        <v>9</v>
      </c>
      <c r="R14">
        <f>SUM(R11,R12)</f>
        <v>1923.6000000000001</v>
      </c>
    </row>
    <row r="15" spans="1:18" x14ac:dyDescent="0.35">
      <c r="A15">
        <v>14</v>
      </c>
    </row>
    <row r="16" spans="1:18" x14ac:dyDescent="0.35">
      <c r="A16">
        <v>13</v>
      </c>
    </row>
    <row r="17" spans="1:1" x14ac:dyDescent="0.35">
      <c r="A17">
        <v>12</v>
      </c>
    </row>
    <row r="18" spans="1:1" x14ac:dyDescent="0.35">
      <c r="A18">
        <v>8</v>
      </c>
    </row>
    <row r="19" spans="1:1" x14ac:dyDescent="0.35">
      <c r="A19">
        <v>7</v>
      </c>
    </row>
    <row r="20" spans="1:1" x14ac:dyDescent="0.35">
      <c r="A20">
        <v>4</v>
      </c>
    </row>
  </sheetData>
  <sortState xmlns:xlrd2="http://schemas.microsoft.com/office/spreadsheetml/2017/richdata2" ref="A2:B12">
    <sortCondition descending="1" ref="B2:B12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West, Amanda</dc:creator>
  <cp:lastModifiedBy>West, Amanda</cp:lastModifiedBy>
  <dcterms:created xsi:type="dcterms:W3CDTF">2025-11-21T23:34:42Z</dcterms:created>
  <dcterms:modified xsi:type="dcterms:W3CDTF">2025-11-24T20:21:58Z</dcterms:modified>
</cp:coreProperties>
</file>